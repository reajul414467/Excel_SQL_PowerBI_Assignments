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D:\Ostad - Data Analytics\Assignments\Exam Week_1\"/>
    </mc:Choice>
  </mc:AlternateContent>
  <xr:revisionPtr revIDLastSave="0" documentId="13_ncr:1_{825F86A0-722C-4EF0-B9AF-79B44672EEF6}" xr6:coauthVersionLast="47" xr6:coauthVersionMax="47" xr10:uidLastSave="{00000000-0000-0000-0000-000000000000}"/>
  <bookViews>
    <workbookView xWindow="-108" yWindow="-108" windowWidth="23256" windowHeight="12456" activeTab="3" xr2:uid="{00000000-000D-0000-FFFF-FFFF00000000}"/>
  </bookViews>
  <sheets>
    <sheet name="Sales_Data" sheetId="1" r:id="rId1"/>
    <sheet name="Region_Analysis" sheetId="3" r:id="rId2"/>
    <sheet name="Region_Targets" sheetId="2" r:id="rId3"/>
    <sheet name="Pivot_Analysis" sheetId="4" r:id="rId4"/>
  </sheets>
  <definedNames>
    <definedName name="Slicer_Region">#N/A</definedName>
  </definedNames>
  <calcPr calcId="191029"/>
  <pivotCaches>
    <pivotCache cacheId="4"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 i="1" l="1"/>
  <c r="B3" i="3"/>
  <c r="B4" i="3"/>
  <c r="B5" i="3"/>
  <c r="B2" i="3"/>
  <c r="H3" i="1"/>
  <c r="H4" i="1"/>
  <c r="H5" i="1"/>
  <c r="H6" i="1"/>
  <c r="H7" i="1"/>
  <c r="H8" i="1"/>
  <c r="H9" i="1"/>
  <c r="H10" i="1"/>
  <c r="H11" i="1"/>
  <c r="H12" i="1"/>
  <c r="H13" i="1"/>
  <c r="H14" i="1"/>
  <c r="H15" i="1"/>
  <c r="H16" i="1"/>
  <c r="H17" i="1"/>
  <c r="H18" i="1"/>
  <c r="H19" i="1"/>
  <c r="H20" i="1"/>
  <c r="H21" i="1"/>
  <c r="H2" i="1"/>
  <c r="G3" i="1"/>
  <c r="G4" i="1"/>
  <c r="G5" i="1"/>
  <c r="G6" i="1"/>
  <c r="G7" i="1"/>
  <c r="G8" i="1"/>
  <c r="G9" i="1"/>
  <c r="G10" i="1"/>
  <c r="G11" i="1"/>
  <c r="G12" i="1"/>
  <c r="G13" i="1"/>
  <c r="G14" i="1"/>
  <c r="G15" i="1"/>
  <c r="G16" i="1"/>
  <c r="G17" i="1"/>
  <c r="G18" i="1"/>
  <c r="G19" i="1"/>
  <c r="G20" i="1"/>
  <c r="G21" i="1"/>
  <c r="G2" i="1"/>
</calcChain>
</file>

<file path=xl/sharedStrings.xml><?xml version="1.0" encoding="utf-8"?>
<sst xmlns="http://schemas.openxmlformats.org/spreadsheetml/2006/main" count="91" uniqueCount="47">
  <si>
    <t>Date</t>
  </si>
  <si>
    <t>Salesperson</t>
  </si>
  <si>
    <t>Region</t>
  </si>
  <si>
    <t>Product</t>
  </si>
  <si>
    <t>Units_Sold</t>
  </si>
  <si>
    <t>Revenue</t>
  </si>
  <si>
    <t>John</t>
  </si>
  <si>
    <t>Emma</t>
  </si>
  <si>
    <t>Liam</t>
  </si>
  <si>
    <t>Sophia</t>
  </si>
  <si>
    <t>Noah</t>
  </si>
  <si>
    <t>Olivia</t>
  </si>
  <si>
    <t>Ava</t>
  </si>
  <si>
    <t>Mason</t>
  </si>
  <si>
    <t>Isabella</t>
  </si>
  <si>
    <t>Ethan</t>
  </si>
  <si>
    <t>Mia</t>
  </si>
  <si>
    <t>Logan</t>
  </si>
  <si>
    <t>Charlotte</t>
  </si>
  <si>
    <t>Lucas</t>
  </si>
  <si>
    <t>Amelia</t>
  </si>
  <si>
    <t>James</t>
  </si>
  <si>
    <t>Harper</t>
  </si>
  <si>
    <t>Benjamin</t>
  </si>
  <si>
    <t>Evelyn</t>
  </si>
  <si>
    <t>Henry</t>
  </si>
  <si>
    <t>North</t>
  </si>
  <si>
    <t>South</t>
  </si>
  <si>
    <t>East</t>
  </si>
  <si>
    <t>West</t>
  </si>
  <si>
    <t>Laptop</t>
  </si>
  <si>
    <t>Tablet</t>
  </si>
  <si>
    <t>Phone</t>
  </si>
  <si>
    <t>Monitor</t>
  </si>
  <si>
    <t>Target_Revenue</t>
  </si>
  <si>
    <t>Performance</t>
  </si>
  <si>
    <t>Difference_From_Target</t>
  </si>
  <si>
    <t>Total_Revenue</t>
  </si>
  <si>
    <t>North_Units_Above_40</t>
  </si>
  <si>
    <t>Row Labels</t>
  </si>
  <si>
    <t>Grand Total</t>
  </si>
  <si>
    <t>Column Labels</t>
  </si>
  <si>
    <t>Sum of Revenue</t>
  </si>
  <si>
    <t>Total Sum of Revenue</t>
  </si>
  <si>
    <t>Total Sum of Units_Sold</t>
  </si>
  <si>
    <t>Sum of Units_Sold</t>
  </si>
  <si>
    <t>Pivot Table with Slicer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</si>
</sst>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2</xdr:col>
      <xdr:colOff>38100</xdr:colOff>
      <xdr:row>10</xdr:row>
      <xdr:rowOff>83821</xdr:rowOff>
    </xdr:from>
    <xdr:to>
      <xdr:col>3</xdr:col>
      <xdr:colOff>731520</xdr:colOff>
      <xdr:row>19</xdr:row>
      <xdr:rowOff>53341</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6C366F96-D255-B171-35B6-BFDA7EB8AE3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965960" y="1912621"/>
              <a:ext cx="1828800" cy="1615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jad" refreshedDate="46204.952428240744" createdVersion="8" refreshedVersion="8" minRefreshableVersion="3" recordCount="20" xr:uid="{F3765B03-E84D-4098-B486-B809110861A6}">
  <cacheSource type="worksheet">
    <worksheetSource ref="A1:H21" sheet="Sales_Data"/>
  </cacheSource>
  <cacheFields count="8">
    <cacheField name="Date" numFmtId="14">
      <sharedItems containsSemiMixedTypes="0" containsNonDate="0" containsDate="1" containsString="0" minDate="2024-01-01T00:00:00" maxDate="2024-01-21T00:00:00"/>
    </cacheField>
    <cacheField name="Salesperson" numFmtId="0">
      <sharedItems/>
    </cacheField>
    <cacheField name="Region" numFmtId="0">
      <sharedItems count="4">
        <s v="North"/>
        <s v="South"/>
        <s v="East"/>
        <s v="West"/>
      </sharedItems>
    </cacheField>
    <cacheField name="Product" numFmtId="0">
      <sharedItems count="4">
        <s v="Laptop"/>
        <s v="Tablet"/>
        <s v="Phone"/>
        <s v="Monitor"/>
      </sharedItems>
    </cacheField>
    <cacheField name="Units_Sold" numFmtId="0">
      <sharedItems containsSemiMixedTypes="0" containsString="0" containsNumber="1" containsInteger="1" minValue="20" maxValue="60"/>
    </cacheField>
    <cacheField name="Revenue" numFmtId="0">
      <sharedItems containsSemiMixedTypes="0" containsString="0" containsNumber="1" containsInteger="1" minValue="2000" maxValue="6000"/>
    </cacheField>
    <cacheField name="Performance" numFmtId="0">
      <sharedItems/>
    </cacheField>
    <cacheField name="Difference_From_Target" numFmtId="0">
      <sharedItems containsSemiMixedTypes="0" containsString="0" containsNumber="1" containsInteger="1" minValue="-2500" maxValue="1500"/>
    </cacheField>
  </cacheFields>
  <extLst>
    <ext xmlns:x14="http://schemas.microsoft.com/office/spreadsheetml/2009/9/main" uri="{725AE2AE-9491-48be-B2B4-4EB974FC3084}">
      <x14:pivotCacheDefinition pivotCacheId="9034119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s v="John"/>
    <x v="0"/>
    <x v="0"/>
    <n v="25"/>
    <n v="2500"/>
    <s v="Average"/>
    <n v="-2500"/>
  </r>
  <r>
    <d v="2024-01-02T00:00:00"/>
    <s v="Emma"/>
    <x v="1"/>
    <x v="1"/>
    <n v="40"/>
    <n v="4000"/>
    <s v="Average"/>
    <n v="-500"/>
  </r>
  <r>
    <d v="2024-01-03T00:00:00"/>
    <s v="Liam"/>
    <x v="2"/>
    <x v="2"/>
    <n v="55"/>
    <n v="5500"/>
    <s v="Excellent"/>
    <n v="1500"/>
  </r>
  <r>
    <d v="2024-01-04T00:00:00"/>
    <s v="Sophia"/>
    <x v="3"/>
    <x v="3"/>
    <n v="20"/>
    <n v="2000"/>
    <s v="Average"/>
    <n v="-1500"/>
  </r>
  <r>
    <d v="2024-01-05T00:00:00"/>
    <s v="Noah"/>
    <x v="0"/>
    <x v="0"/>
    <n v="35"/>
    <n v="3500"/>
    <s v="Average"/>
    <n v="-1500"/>
  </r>
  <r>
    <d v="2024-01-06T00:00:00"/>
    <s v="Olivia"/>
    <x v="1"/>
    <x v="1"/>
    <n v="50"/>
    <n v="5000"/>
    <s v="Good"/>
    <n v="500"/>
  </r>
  <r>
    <d v="2024-01-07T00:00:00"/>
    <s v="Ava"/>
    <x v="2"/>
    <x v="2"/>
    <n v="45"/>
    <n v="4500"/>
    <s v="Good"/>
    <n v="500"/>
  </r>
  <r>
    <d v="2024-01-08T00:00:00"/>
    <s v="Mason"/>
    <x v="3"/>
    <x v="3"/>
    <n v="30"/>
    <n v="3000"/>
    <s v="Average"/>
    <n v="-500"/>
  </r>
  <r>
    <d v="2024-01-09T00:00:00"/>
    <s v="Isabella"/>
    <x v="0"/>
    <x v="0"/>
    <n v="60"/>
    <n v="6000"/>
    <s v="Excellent"/>
    <n v="1000"/>
  </r>
  <r>
    <d v="2024-01-10T00:00:00"/>
    <s v="Ethan"/>
    <x v="1"/>
    <x v="1"/>
    <n v="25"/>
    <n v="2500"/>
    <s v="Average"/>
    <n v="-2000"/>
  </r>
  <r>
    <d v="2024-01-11T00:00:00"/>
    <s v="Mia"/>
    <x v="2"/>
    <x v="2"/>
    <n v="40"/>
    <n v="4000"/>
    <s v="Average"/>
    <n v="0"/>
  </r>
  <r>
    <d v="2024-01-12T00:00:00"/>
    <s v="Logan"/>
    <x v="3"/>
    <x v="3"/>
    <n v="50"/>
    <n v="5000"/>
    <s v="Good"/>
    <n v="1500"/>
  </r>
  <r>
    <d v="2024-01-13T00:00:00"/>
    <s v="Charlotte"/>
    <x v="0"/>
    <x v="0"/>
    <n v="45"/>
    <n v="4500"/>
    <s v="Good"/>
    <n v="-500"/>
  </r>
  <r>
    <d v="2024-01-14T00:00:00"/>
    <s v="Lucas"/>
    <x v="1"/>
    <x v="1"/>
    <n v="35"/>
    <n v="3500"/>
    <s v="Average"/>
    <n v="-1000"/>
  </r>
  <r>
    <d v="2024-01-15T00:00:00"/>
    <s v="Amelia"/>
    <x v="2"/>
    <x v="2"/>
    <n v="55"/>
    <n v="5500"/>
    <s v="Excellent"/>
    <n v="1500"/>
  </r>
  <r>
    <d v="2024-01-16T00:00:00"/>
    <s v="James"/>
    <x v="3"/>
    <x v="3"/>
    <n v="30"/>
    <n v="3000"/>
    <s v="Average"/>
    <n v="-500"/>
  </r>
  <r>
    <d v="2024-01-17T00:00:00"/>
    <s v="Harper"/>
    <x v="0"/>
    <x v="0"/>
    <n v="60"/>
    <n v="6000"/>
    <s v="Excellent"/>
    <n v="1000"/>
  </r>
  <r>
    <d v="2024-01-18T00:00:00"/>
    <s v="Benjamin"/>
    <x v="1"/>
    <x v="1"/>
    <n v="20"/>
    <n v="2000"/>
    <s v="Average"/>
    <n v="-2500"/>
  </r>
  <r>
    <d v="2024-01-19T00:00:00"/>
    <s v="Evelyn"/>
    <x v="2"/>
    <x v="2"/>
    <n v="45"/>
    <n v="4500"/>
    <s v="Good"/>
    <n v="500"/>
  </r>
  <r>
    <d v="2024-01-20T00:00:00"/>
    <s v="Henry"/>
    <x v="3"/>
    <x v="3"/>
    <n v="40"/>
    <n v="4000"/>
    <s v="Average"/>
    <n v="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658525-7BE9-4528-AC2B-49BCE04F20FD}"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7" firstHeaderRow="1" firstDataRow="3" firstDataCol="1"/>
  <pivotFields count="8">
    <pivotField numFmtId="14" showAll="0"/>
    <pivotField showAll="0"/>
    <pivotField axis="axisRow" showAll="0">
      <items count="5">
        <item x="2"/>
        <item h="1" x="0"/>
        <item h="1" x="1"/>
        <item h="1" x="3"/>
        <item t="default"/>
      </items>
    </pivotField>
    <pivotField axis="axisCol" showAll="0">
      <items count="5">
        <item x="0"/>
        <item x="3"/>
        <item x="2"/>
        <item x="1"/>
        <item t="default"/>
      </items>
    </pivotField>
    <pivotField dataField="1" showAll="0"/>
    <pivotField dataField="1" showAll="0"/>
    <pivotField showAll="0"/>
    <pivotField showAll="0"/>
  </pivotFields>
  <rowFields count="1">
    <field x="2"/>
  </rowFields>
  <rowItems count="2">
    <i>
      <x/>
    </i>
    <i t="grand">
      <x/>
    </i>
  </rowItems>
  <colFields count="2">
    <field x="3"/>
    <field x="-2"/>
  </colFields>
  <colItems count="4">
    <i>
      <x v="2"/>
      <x/>
    </i>
    <i r="1" i="1">
      <x v="1"/>
    </i>
    <i t="grand">
      <x/>
    </i>
    <i t="grand" i="1">
      <x/>
    </i>
  </colItems>
  <dataFields count="2">
    <dataField name="Sum of Revenue" fld="5" baseField="0" baseItem="0"/>
    <dataField name="Sum of Units_Sol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DEDB3C6-5ED7-45DD-8D42-86FEEC51222F}" sourceName="Region">
  <pivotTables>
    <pivotTable tabId="4" name="PivotTable1"/>
  </pivotTables>
  <data>
    <tabular pivotCacheId="903411974">
      <items count="4">
        <i x="2" s="1"/>
        <i x="0"/>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3303D4E-7683-4AA0-9BC8-09E3E3BE11DD}" cache="Slicer_Region" caption="Region"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1"/>
  <sheetViews>
    <sheetView workbookViewId="0">
      <selection activeCell="J6" sqref="J6"/>
    </sheetView>
  </sheetViews>
  <sheetFormatPr defaultRowHeight="14.4" x14ac:dyDescent="0.3"/>
  <cols>
    <col min="1" max="1" width="18.109375" style="3" bestFit="1" customWidth="1"/>
    <col min="7" max="7" width="11.5546875" bestFit="1" customWidth="1"/>
    <col min="8" max="8" width="21.33203125" bestFit="1" customWidth="1"/>
    <col min="11" max="11" width="20.33203125" bestFit="1" customWidth="1"/>
  </cols>
  <sheetData>
    <row r="1" spans="1:11" x14ac:dyDescent="0.3">
      <c r="A1" s="2" t="s">
        <v>0</v>
      </c>
      <c r="B1" s="1" t="s">
        <v>1</v>
      </c>
      <c r="C1" s="1" t="s">
        <v>2</v>
      </c>
      <c r="D1" s="1" t="s">
        <v>3</v>
      </c>
      <c r="E1" s="1" t="s">
        <v>4</v>
      </c>
      <c r="F1" s="1" t="s">
        <v>5</v>
      </c>
      <c r="G1" s="4" t="s">
        <v>35</v>
      </c>
      <c r="H1" s="4" t="s">
        <v>36</v>
      </c>
    </row>
    <row r="2" spans="1:11" x14ac:dyDescent="0.3">
      <c r="A2" s="3">
        <v>45292</v>
      </c>
      <c r="B2" t="s">
        <v>6</v>
      </c>
      <c r="C2" t="s">
        <v>26</v>
      </c>
      <c r="D2" t="s">
        <v>30</v>
      </c>
      <c r="E2">
        <v>25</v>
      </c>
      <c r="F2">
        <v>2500</v>
      </c>
      <c r="G2" t="str">
        <f>IF(F2&gt;5000,"Excellent",IF(F2&gt;4000,"Good","Average"))</f>
        <v>Average</v>
      </c>
      <c r="H2">
        <f>F2-VLOOKUP(C2,Region_Targets!$A$2:$B$5,2,FALSE)</f>
        <v>-2500</v>
      </c>
    </row>
    <row r="3" spans="1:11" x14ac:dyDescent="0.3">
      <c r="A3" s="3">
        <v>45293</v>
      </c>
      <c r="B3" t="s">
        <v>7</v>
      </c>
      <c r="C3" t="s">
        <v>27</v>
      </c>
      <c r="D3" t="s">
        <v>31</v>
      </c>
      <c r="E3">
        <v>40</v>
      </c>
      <c r="F3">
        <v>4000</v>
      </c>
      <c r="G3" t="str">
        <f t="shared" ref="G3:G21" si="0">IF(F3&gt;5000,"Excellent",IF(F3&gt;4000,"Good","Average"))</f>
        <v>Average</v>
      </c>
      <c r="H3">
        <f>F3-VLOOKUP(C3,Region_Targets!$A$2:$B$5,2,FALSE)</f>
        <v>-500</v>
      </c>
      <c r="K3" s="4" t="s">
        <v>38</v>
      </c>
    </row>
    <row r="4" spans="1:11" x14ac:dyDescent="0.3">
      <c r="A4" s="3">
        <v>45294</v>
      </c>
      <c r="B4" t="s">
        <v>8</v>
      </c>
      <c r="C4" t="s">
        <v>28</v>
      </c>
      <c r="D4" t="s">
        <v>32</v>
      </c>
      <c r="E4">
        <v>55</v>
      </c>
      <c r="F4">
        <v>5500</v>
      </c>
      <c r="G4" t="str">
        <f t="shared" si="0"/>
        <v>Excellent</v>
      </c>
      <c r="H4">
        <f>F4-VLOOKUP(C4,Region_Targets!$A$2:$B$5,2,FALSE)</f>
        <v>1500</v>
      </c>
      <c r="K4">
        <f>COUNTIFS(E:E,"&gt;40",C:C,"North")</f>
        <v>3</v>
      </c>
    </row>
    <row r="5" spans="1:11" x14ac:dyDescent="0.3">
      <c r="A5" s="3">
        <v>45295</v>
      </c>
      <c r="B5" t="s">
        <v>9</v>
      </c>
      <c r="C5" t="s">
        <v>29</v>
      </c>
      <c r="D5" t="s">
        <v>33</v>
      </c>
      <c r="E5">
        <v>20</v>
      </c>
      <c r="F5">
        <v>2000</v>
      </c>
      <c r="G5" t="str">
        <f t="shared" si="0"/>
        <v>Average</v>
      </c>
      <c r="H5">
        <f>F5-VLOOKUP(C5,Region_Targets!$A$2:$B$5,2,FALSE)</f>
        <v>-1500</v>
      </c>
    </row>
    <row r="6" spans="1:11" x14ac:dyDescent="0.3">
      <c r="A6" s="3">
        <v>45296</v>
      </c>
      <c r="B6" t="s">
        <v>10</v>
      </c>
      <c r="C6" t="s">
        <v>26</v>
      </c>
      <c r="D6" t="s">
        <v>30</v>
      </c>
      <c r="E6">
        <v>35</v>
      </c>
      <c r="F6">
        <v>3500</v>
      </c>
      <c r="G6" t="str">
        <f t="shared" si="0"/>
        <v>Average</v>
      </c>
      <c r="H6">
        <f>F6-VLOOKUP(C6,Region_Targets!$A$2:$B$5,2,FALSE)</f>
        <v>-1500</v>
      </c>
    </row>
    <row r="7" spans="1:11" x14ac:dyDescent="0.3">
      <c r="A7" s="3">
        <v>45297</v>
      </c>
      <c r="B7" t="s">
        <v>11</v>
      </c>
      <c r="C7" t="s">
        <v>27</v>
      </c>
      <c r="D7" t="s">
        <v>31</v>
      </c>
      <c r="E7">
        <v>50</v>
      </c>
      <c r="F7">
        <v>5000</v>
      </c>
      <c r="G7" t="str">
        <f t="shared" si="0"/>
        <v>Good</v>
      </c>
      <c r="H7">
        <f>F7-VLOOKUP(C7,Region_Targets!$A$2:$B$5,2,FALSE)</f>
        <v>500</v>
      </c>
    </row>
    <row r="8" spans="1:11" x14ac:dyDescent="0.3">
      <c r="A8" s="3">
        <v>45298</v>
      </c>
      <c r="B8" t="s">
        <v>12</v>
      </c>
      <c r="C8" t="s">
        <v>28</v>
      </c>
      <c r="D8" t="s">
        <v>32</v>
      </c>
      <c r="E8">
        <v>45</v>
      </c>
      <c r="F8">
        <v>4500</v>
      </c>
      <c r="G8" t="str">
        <f t="shared" si="0"/>
        <v>Good</v>
      </c>
      <c r="H8">
        <f>F8-VLOOKUP(C8,Region_Targets!$A$2:$B$5,2,FALSE)</f>
        <v>500</v>
      </c>
    </row>
    <row r="9" spans="1:11" x14ac:dyDescent="0.3">
      <c r="A9" s="3">
        <v>45299</v>
      </c>
      <c r="B9" t="s">
        <v>13</v>
      </c>
      <c r="C9" t="s">
        <v>29</v>
      </c>
      <c r="D9" t="s">
        <v>33</v>
      </c>
      <c r="E9">
        <v>30</v>
      </c>
      <c r="F9">
        <v>3000</v>
      </c>
      <c r="G9" t="str">
        <f t="shared" si="0"/>
        <v>Average</v>
      </c>
      <c r="H9">
        <f>F9-VLOOKUP(C9,Region_Targets!$A$2:$B$5,2,FALSE)</f>
        <v>-500</v>
      </c>
    </row>
    <row r="10" spans="1:11" x14ac:dyDescent="0.3">
      <c r="A10" s="3">
        <v>45300</v>
      </c>
      <c r="B10" t="s">
        <v>14</v>
      </c>
      <c r="C10" t="s">
        <v>26</v>
      </c>
      <c r="D10" t="s">
        <v>30</v>
      </c>
      <c r="E10">
        <v>60</v>
      </c>
      <c r="F10">
        <v>6000</v>
      </c>
      <c r="G10" t="str">
        <f t="shared" si="0"/>
        <v>Excellent</v>
      </c>
      <c r="H10">
        <f>F10-VLOOKUP(C10,Region_Targets!$A$2:$B$5,2,FALSE)</f>
        <v>1000</v>
      </c>
    </row>
    <row r="11" spans="1:11" x14ac:dyDescent="0.3">
      <c r="A11" s="3">
        <v>45301</v>
      </c>
      <c r="B11" t="s">
        <v>15</v>
      </c>
      <c r="C11" t="s">
        <v>27</v>
      </c>
      <c r="D11" t="s">
        <v>31</v>
      </c>
      <c r="E11">
        <v>25</v>
      </c>
      <c r="F11">
        <v>2500</v>
      </c>
      <c r="G11" t="str">
        <f t="shared" si="0"/>
        <v>Average</v>
      </c>
      <c r="H11">
        <f>F11-VLOOKUP(C11,Region_Targets!$A$2:$B$5,2,FALSE)</f>
        <v>-2000</v>
      </c>
    </row>
    <row r="12" spans="1:11" x14ac:dyDescent="0.3">
      <c r="A12" s="3">
        <v>45302</v>
      </c>
      <c r="B12" t="s">
        <v>16</v>
      </c>
      <c r="C12" t="s">
        <v>28</v>
      </c>
      <c r="D12" t="s">
        <v>32</v>
      </c>
      <c r="E12">
        <v>40</v>
      </c>
      <c r="F12">
        <v>4000</v>
      </c>
      <c r="G12" t="str">
        <f t="shared" si="0"/>
        <v>Average</v>
      </c>
      <c r="H12">
        <f>F12-VLOOKUP(C12,Region_Targets!$A$2:$B$5,2,FALSE)</f>
        <v>0</v>
      </c>
    </row>
    <row r="13" spans="1:11" x14ac:dyDescent="0.3">
      <c r="A13" s="3">
        <v>45303</v>
      </c>
      <c r="B13" t="s">
        <v>17</v>
      </c>
      <c r="C13" t="s">
        <v>29</v>
      </c>
      <c r="D13" t="s">
        <v>33</v>
      </c>
      <c r="E13">
        <v>50</v>
      </c>
      <c r="F13">
        <v>5000</v>
      </c>
      <c r="G13" t="str">
        <f t="shared" si="0"/>
        <v>Good</v>
      </c>
      <c r="H13">
        <f>F13-VLOOKUP(C13,Region_Targets!$A$2:$B$5,2,FALSE)</f>
        <v>1500</v>
      </c>
    </row>
    <row r="14" spans="1:11" x14ac:dyDescent="0.3">
      <c r="A14" s="3">
        <v>45304</v>
      </c>
      <c r="B14" t="s">
        <v>18</v>
      </c>
      <c r="C14" t="s">
        <v>26</v>
      </c>
      <c r="D14" t="s">
        <v>30</v>
      </c>
      <c r="E14">
        <v>45</v>
      </c>
      <c r="F14">
        <v>4500</v>
      </c>
      <c r="G14" t="str">
        <f t="shared" si="0"/>
        <v>Good</v>
      </c>
      <c r="H14">
        <f>F14-VLOOKUP(C14,Region_Targets!$A$2:$B$5,2,FALSE)</f>
        <v>-500</v>
      </c>
    </row>
    <row r="15" spans="1:11" x14ac:dyDescent="0.3">
      <c r="A15" s="3">
        <v>45305</v>
      </c>
      <c r="B15" t="s">
        <v>19</v>
      </c>
      <c r="C15" t="s">
        <v>27</v>
      </c>
      <c r="D15" t="s">
        <v>31</v>
      </c>
      <c r="E15">
        <v>35</v>
      </c>
      <c r="F15">
        <v>3500</v>
      </c>
      <c r="G15" t="str">
        <f t="shared" si="0"/>
        <v>Average</v>
      </c>
      <c r="H15">
        <f>F15-VLOOKUP(C15,Region_Targets!$A$2:$B$5,2,FALSE)</f>
        <v>-1000</v>
      </c>
    </row>
    <row r="16" spans="1:11" x14ac:dyDescent="0.3">
      <c r="A16" s="3">
        <v>45306</v>
      </c>
      <c r="B16" t="s">
        <v>20</v>
      </c>
      <c r="C16" t="s">
        <v>28</v>
      </c>
      <c r="D16" t="s">
        <v>32</v>
      </c>
      <c r="E16">
        <v>55</v>
      </c>
      <c r="F16">
        <v>5500</v>
      </c>
      <c r="G16" t="str">
        <f t="shared" si="0"/>
        <v>Excellent</v>
      </c>
      <c r="H16">
        <f>F16-VLOOKUP(C16,Region_Targets!$A$2:$B$5,2,FALSE)</f>
        <v>1500</v>
      </c>
    </row>
    <row r="17" spans="1:8" x14ac:dyDescent="0.3">
      <c r="A17" s="3">
        <v>45307</v>
      </c>
      <c r="B17" t="s">
        <v>21</v>
      </c>
      <c r="C17" t="s">
        <v>29</v>
      </c>
      <c r="D17" t="s">
        <v>33</v>
      </c>
      <c r="E17">
        <v>30</v>
      </c>
      <c r="F17">
        <v>3000</v>
      </c>
      <c r="G17" t="str">
        <f t="shared" si="0"/>
        <v>Average</v>
      </c>
      <c r="H17">
        <f>F17-VLOOKUP(C17,Region_Targets!$A$2:$B$5,2,FALSE)</f>
        <v>-500</v>
      </c>
    </row>
    <row r="18" spans="1:8" x14ac:dyDescent="0.3">
      <c r="A18" s="3">
        <v>45308</v>
      </c>
      <c r="B18" t="s">
        <v>22</v>
      </c>
      <c r="C18" t="s">
        <v>26</v>
      </c>
      <c r="D18" t="s">
        <v>30</v>
      </c>
      <c r="E18">
        <v>60</v>
      </c>
      <c r="F18">
        <v>6000</v>
      </c>
      <c r="G18" t="str">
        <f t="shared" si="0"/>
        <v>Excellent</v>
      </c>
      <c r="H18">
        <f>F18-VLOOKUP(C18,Region_Targets!$A$2:$B$5,2,FALSE)</f>
        <v>1000</v>
      </c>
    </row>
    <row r="19" spans="1:8" x14ac:dyDescent="0.3">
      <c r="A19" s="3">
        <v>45309</v>
      </c>
      <c r="B19" t="s">
        <v>23</v>
      </c>
      <c r="C19" t="s">
        <v>27</v>
      </c>
      <c r="D19" t="s">
        <v>31</v>
      </c>
      <c r="E19">
        <v>20</v>
      </c>
      <c r="F19">
        <v>2000</v>
      </c>
      <c r="G19" t="str">
        <f t="shared" si="0"/>
        <v>Average</v>
      </c>
      <c r="H19">
        <f>F19-VLOOKUP(C19,Region_Targets!$A$2:$B$5,2,FALSE)</f>
        <v>-2500</v>
      </c>
    </row>
    <row r="20" spans="1:8" x14ac:dyDescent="0.3">
      <c r="A20" s="3">
        <v>45310</v>
      </c>
      <c r="B20" t="s">
        <v>24</v>
      </c>
      <c r="C20" t="s">
        <v>28</v>
      </c>
      <c r="D20" t="s">
        <v>32</v>
      </c>
      <c r="E20">
        <v>45</v>
      </c>
      <c r="F20">
        <v>4500</v>
      </c>
      <c r="G20" t="str">
        <f t="shared" si="0"/>
        <v>Good</v>
      </c>
      <c r="H20">
        <f>F20-VLOOKUP(C20,Region_Targets!$A$2:$B$5,2,FALSE)</f>
        <v>500</v>
      </c>
    </row>
    <row r="21" spans="1:8" x14ac:dyDescent="0.3">
      <c r="A21" s="3">
        <v>45311</v>
      </c>
      <c r="B21" t="s">
        <v>25</v>
      </c>
      <c r="C21" t="s">
        <v>29</v>
      </c>
      <c r="D21" t="s">
        <v>33</v>
      </c>
      <c r="E21">
        <v>40</v>
      </c>
      <c r="F21">
        <v>4000</v>
      </c>
      <c r="G21" t="str">
        <f t="shared" si="0"/>
        <v>Average</v>
      </c>
      <c r="H21">
        <f>F21-VLOOKUP(C21,Region_Targets!$A$2:$B$5,2,FALSE)</f>
        <v>500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2C4B6-759A-494D-A15F-660DF869D98B}">
  <dimension ref="A1:B5"/>
  <sheetViews>
    <sheetView workbookViewId="0">
      <selection activeCell="B4" sqref="B4"/>
    </sheetView>
  </sheetViews>
  <sheetFormatPr defaultRowHeight="14.4" x14ac:dyDescent="0.3"/>
  <cols>
    <col min="2" max="2" width="13.33203125" bestFit="1" customWidth="1"/>
  </cols>
  <sheetData>
    <row r="1" spans="1:2" x14ac:dyDescent="0.3">
      <c r="A1" t="s">
        <v>2</v>
      </c>
      <c r="B1" t="s">
        <v>37</v>
      </c>
    </row>
    <row r="2" spans="1:2" x14ac:dyDescent="0.3">
      <c r="A2" t="s">
        <v>26</v>
      </c>
      <c r="B2">
        <f>SUMIF(Sales_Data!C:C,A2,Sales_Data!F:F)</f>
        <v>22500</v>
      </c>
    </row>
    <row r="3" spans="1:2" x14ac:dyDescent="0.3">
      <c r="A3" t="s">
        <v>27</v>
      </c>
      <c r="B3">
        <f>SUMIF(Sales_Data!C:C,A3,Sales_Data!F:F)</f>
        <v>17000</v>
      </c>
    </row>
    <row r="4" spans="1:2" x14ac:dyDescent="0.3">
      <c r="A4" t="s">
        <v>28</v>
      </c>
      <c r="B4">
        <f>SUMIF(Sales_Data!C:C,A4,Sales_Data!F:F)</f>
        <v>24000</v>
      </c>
    </row>
    <row r="5" spans="1:2" x14ac:dyDescent="0.3">
      <c r="A5" t="s">
        <v>29</v>
      </c>
      <c r="B5">
        <f>SUMIF(Sales_Data!C:C,A5,Sales_Data!F:F)</f>
        <v>17000</v>
      </c>
    </row>
  </sheetData>
  <conditionalFormatting sqref="B2:B5">
    <cfRule type="top10" dxfId="0" priority="1" rank="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selection activeCell="C20" sqref="C20"/>
    </sheetView>
  </sheetViews>
  <sheetFormatPr defaultRowHeight="14.4" x14ac:dyDescent="0.3"/>
  <cols>
    <col min="2" max="2" width="14.77734375" bestFit="1" customWidth="1"/>
  </cols>
  <sheetData>
    <row r="1" spans="1:2" x14ac:dyDescent="0.3">
      <c r="A1" s="1" t="s">
        <v>2</v>
      </c>
      <c r="B1" s="1" t="s">
        <v>34</v>
      </c>
    </row>
    <row r="2" spans="1:2" x14ac:dyDescent="0.3">
      <c r="A2" t="s">
        <v>26</v>
      </c>
      <c r="B2">
        <v>5000</v>
      </c>
    </row>
    <row r="3" spans="1:2" x14ac:dyDescent="0.3">
      <c r="A3" t="s">
        <v>27</v>
      </c>
      <c r="B3">
        <v>4500</v>
      </c>
    </row>
    <row r="4" spans="1:2" x14ac:dyDescent="0.3">
      <c r="A4" t="s">
        <v>28</v>
      </c>
      <c r="B4">
        <v>4000</v>
      </c>
    </row>
    <row r="5" spans="1:2" x14ac:dyDescent="0.3">
      <c r="A5" t="s">
        <v>29</v>
      </c>
      <c r="B5">
        <v>3500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D613A-C108-4F7A-9B6C-EA7FA911994C}">
  <dimension ref="A1:E7"/>
  <sheetViews>
    <sheetView tabSelected="1" workbookViewId="0">
      <selection activeCell="F7" sqref="F7"/>
    </sheetView>
  </sheetViews>
  <sheetFormatPr defaultRowHeight="14.4" x14ac:dyDescent="0.3"/>
  <cols>
    <col min="1" max="1" width="12.5546875" bestFit="1" customWidth="1"/>
    <col min="2" max="2" width="15.5546875" bestFit="1" customWidth="1"/>
    <col min="3" max="3" width="16.5546875" bestFit="1" customWidth="1"/>
    <col min="4" max="4" width="19.6640625" bestFit="1" customWidth="1"/>
    <col min="5" max="5" width="21.44140625" bestFit="1" customWidth="1"/>
    <col min="6" max="6" width="14.88671875" bestFit="1" customWidth="1"/>
    <col min="7" max="7" width="16.5546875" bestFit="1" customWidth="1"/>
    <col min="8" max="8" width="14.88671875" bestFit="1" customWidth="1"/>
    <col min="9" max="9" width="16.5546875" bestFit="1" customWidth="1"/>
    <col min="10" max="10" width="19.6640625" bestFit="1" customWidth="1"/>
    <col min="11" max="11" width="21.44140625" bestFit="1" customWidth="1"/>
  </cols>
  <sheetData>
    <row r="1" spans="1:5" x14ac:dyDescent="0.3">
      <c r="D1" s="4" t="s">
        <v>46</v>
      </c>
    </row>
    <row r="3" spans="1:5" x14ac:dyDescent="0.3">
      <c r="B3" s="5" t="s">
        <v>41</v>
      </c>
    </row>
    <row r="4" spans="1:5" x14ac:dyDescent="0.3">
      <c r="B4" t="s">
        <v>32</v>
      </c>
      <c r="D4" t="s">
        <v>43</v>
      </c>
      <c r="E4" t="s">
        <v>44</v>
      </c>
    </row>
    <row r="5" spans="1:5" x14ac:dyDescent="0.3">
      <c r="A5" s="5" t="s">
        <v>39</v>
      </c>
      <c r="B5" t="s">
        <v>42</v>
      </c>
      <c r="C5" t="s">
        <v>45</v>
      </c>
    </row>
    <row r="6" spans="1:5" x14ac:dyDescent="0.3">
      <c r="A6" s="6" t="s">
        <v>28</v>
      </c>
      <c r="B6" s="7">
        <v>24000</v>
      </c>
      <c r="C6" s="7">
        <v>240</v>
      </c>
      <c r="D6" s="7">
        <v>24000</v>
      </c>
      <c r="E6" s="7">
        <v>240</v>
      </c>
    </row>
    <row r="7" spans="1:5" x14ac:dyDescent="0.3">
      <c r="A7" s="6" t="s">
        <v>40</v>
      </c>
      <c r="B7" s="7">
        <v>24000</v>
      </c>
      <c r="C7" s="7">
        <v>240</v>
      </c>
      <c r="D7" s="7">
        <v>24000</v>
      </c>
      <c r="E7" s="7">
        <v>240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Sales_Data</vt:lpstr>
      <vt:lpstr>Region_Analysis</vt:lpstr>
      <vt:lpstr>Region_Targets</vt:lpstr>
      <vt:lpstr>Pivot_Analysis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MD REAJUL ISLAM</cp:lastModifiedBy>
  <dcterms:created xsi:type="dcterms:W3CDTF">2024-12-21T08:12:14Z</dcterms:created>
  <dcterms:modified xsi:type="dcterms:W3CDTF">2026-07-01T16:54:33Z</dcterms:modified>
</cp:coreProperties>
</file>